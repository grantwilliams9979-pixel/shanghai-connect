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4a0511a29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 Bank" sheetId="1" r:id="Rfa1cce715f2d4e5b"/>
    <x:sheet xmlns:r="http://schemas.openxmlformats.org/officeDocument/2006/relationships" name="License Notes" sheetId="2" r:id="R8c571ec7bdec480c"/>
    <x:sheet xmlns:r="http://schemas.openxmlformats.org/officeDocument/2006/relationships" name="Category Summary" sheetId="3" r:id="R7a50a70cd669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2563EB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daf8bac4b4b57" /><Relationship Type="http://schemas.openxmlformats.org/officeDocument/2006/relationships/theme" Target="/xl/theme/theme1.xml" Id="Rf124344a800644a6" /><Relationship Type="http://schemas.openxmlformats.org/officeDocument/2006/relationships/sharedStrings" Target="/xl/sharedStrings.xml" Id="R0bb6e36bae1849ae" /><Relationship Type="http://schemas.openxmlformats.org/officeDocument/2006/relationships/worksheet" Target="/xl/worksheets/sheet1.xml" Id="Rfa1cce715f2d4e5b" /><Relationship Type="http://schemas.openxmlformats.org/officeDocument/2006/relationships/worksheet" Target="/xl/worksheets/sheet2.xml" Id="R8c571ec7bdec480c" /><Relationship Type="http://schemas.openxmlformats.org/officeDocument/2006/relationships/worksheet" Target="/xl/worksheets/sheet3.xml" Id="R7a50a70cd6694008" /></Relationships>
</file>

<file path=xl/tables/table1.xml><?xml version="1.0" encoding="utf-8"?>
<x:table xmlns:x="http://schemas.openxmlformats.org/spreadsheetml/2006/main" id="1" name="ImageBankTable" displayName="ImageBankTable" ref="A3:K43" headerRowCount="1">
  <x:tableColumns count="11">
    <x:tableColumn id="1" name="Category"/>
    <x:tableColumn id="2" name="Suggested Use"/>
    <x:tableColumn id="3" name="Image Name"/>
    <x:tableColumn id="4" name="Source"/>
    <x:tableColumn id="5" name="Photographer / Creator"/>
    <x:tableColumn id="6" name="License"/>
    <x:tableColumn id="7" name="Attribution Needed?"/>
    <x:tableColumn id="8" name="Source URL"/>
    <x:tableColumn id="9" name="Download Date"/>
    <x:tableColumn id="10" name="Status"/>
    <x:tableColumn id="11" name="Notes / Risk Checks"/>
  </x:tableColumns>
  <x:tableStyleInfo name="TableStyleMedium2" showRowStripes="1"/>
</x:table>
</file>

<file path=xl/tables/table2.xml><?xml version="1.0" encoding="utf-8"?>
<x:table xmlns:x="http://schemas.openxmlformats.org/spreadsheetml/2006/main" id="2" name="LicenseNotesTable" displayName="LicenseNotesTable" ref="A3:D8" headerRowCount="1">
  <x:tableColumns count="4">
    <x:tableColumn id="1" name="Source / License"/>
    <x:tableColumn id="2" name="What it means for Shanghai Connect"/>
    <x:tableColumn id="3" name="Official Source URL"/>
    <x:tableColumn id="4" name="Recommended Action"/>
  </x:tableColumns>
  <x:tableStyleInfo name="TableStyleMedium2" showRowStripes="1"/>
</x:table>
</file>

<file path=xl/tables/table3.xml><?xml version="1.0" encoding="utf-8"?>
<x:table xmlns:x="http://schemas.openxmlformats.org/spreadsheetml/2006/main" id="3" name="CategorySummaryTable" displayName="CategorySummaryTable" ref="A3:E12" headerRowCount="1">
  <x:tableColumns count="5">
    <x:tableColumn id="1" name="Category"/>
    <x:tableColumn id="2" name="Count"/>
    <x:tableColumn id="3" name="Unsplash"/>
    <x:tableColumn id="4" name="Non-Unsplash"/>
    <x:tableColumn id="5" name="Primary README F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33c6485dc646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e2e04c8b8141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eb4c9a0997424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6" hidden="0" customWidth="1"/>
    <x:col min="4" max="4" width="18" hidden="0" customWidth="1"/>
    <x:col min="5" max="5" width="24" hidden="0" customWidth="1"/>
    <x:col min="6" max="6" width="20" hidden="0" customWidth="1"/>
    <x:col min="7" max="7" width="18" hidden="0" customWidth="1"/>
    <x:col min="8" max="8" width="44" hidden="0" customWidth="1"/>
    <x:col min="9" max="9" width="14" hidden="0" customWidth="1"/>
    <x:col min="10" max="10" width="16" hidden="0" customWidth="1"/>
    <x:col min="11" max="11" width="44" hidden="0" customWidth="1"/>
  </x:cols>
  <x:sheetData>
    <x:row r="1" ht="32" customHeight="1">
      <x:c r="A1" s="5" t="str">
        <x:v>Shanghai Connect – Reusable Image Bank</x:v>
      </x:c>
    </x:row>
    <x:row r="2" ht="28" customHeight="1">
      <x:c r="A2" s="14" t="str">
        <x:v>Shortlisted photo sources mapped to the README sections: homepage, Starter Pack, apps, VPN/internet, neighbourhoods, transport, groceries, arrival guides, and culture.</x:v>
      </x:c>
    </x:row>
    <x:row r="3">
      <x:c r="A3" s="24" t="str">
        <x:v>Category</x:v>
      </x:c>
      <x:c r="B3" s="24" t="str">
        <x:v>Suggested Use</x:v>
      </x:c>
      <x:c r="C3" s="24" t="str">
        <x:v>Image Name</x:v>
      </x:c>
      <x:c r="D3" s="24" t="str">
        <x:v>Source</x:v>
      </x:c>
      <x:c r="E3" s="24" t="str">
        <x:v>Photographer / Creator</x:v>
      </x:c>
      <x:c r="F3" s="24" t="str">
        <x:v>License</x:v>
      </x:c>
      <x:c r="G3" s="24" t="str">
        <x:v>Attribution Needed?</x:v>
      </x:c>
      <x:c r="H3" s="24" t="str">
        <x:v>Source URL</x:v>
      </x:c>
      <x:c r="I3" s="24" t="str">
        <x:v>Download Date</x:v>
      </x:c>
      <x:c r="J3" s="24" t="str">
        <x:v>Status</x:v>
      </x:c>
      <x:c r="K3" s="24" t="str">
        <x:v>Notes / Risk Checks</x:v>
      </x:c>
    </x:row>
    <x:row r="4">
      <x:c r="A4" s="32" t="str">
        <x:v>Homepage hero</x:v>
      </x:c>
      <x:c r="B4" s="32" t="str">
        <x:v>Homepage / city identity</x:v>
      </x:c>
      <x:c r="C4" s="32" t="str">
        <x:v>Modern Shanghai skyline illuminated at night</x:v>
      </x:c>
      <x:c r="D4" s="32" t="str">
        <x:v>Unsplash</x:v>
      </x:c>
      <x:c r="E4" s="32" t="str">
        <x:v>Jacky Yu</x:v>
      </x:c>
      <x:c r="F4" s="32" t="str">
        <x:v>Unsplash License</x:v>
      </x:c>
      <x:c r="G4" s="32" t="str">
        <x:v>No, but appreciated</x:v>
      </x:c>
      <x:c r="H4" s="32" t="str">
        <x:v>https://unsplash.com/photos/modern-shanghai-skyline-illuminated-at-night-vxjZOQBR_jg</x:v>
      </x:c>
      <x:c r="I4" s="36" t="n">
        <x:v>46204</x:v>
      </x:c>
      <x:c r="J4" s="32" t="str">
        <x:v>Shortlisted</x:v>
      </x:c>
      <x:c r="K4" s="32" t="str">
        <x:v>Strong hero image; check visible building logos before final commercial placement.</x:v>
      </x:c>
    </x:row>
    <x:row r="5">
      <x:c r="A5" s="32" t="str">
        <x:v>Homepage hero</x:v>
      </x:c>
      <x:c r="B5" s="32" t="str">
        <x:v>Homepage / skyline block</x:v>
      </x:c>
      <x:c r="C5" s="32" t="str">
        <x:v>City skyline during night time</x:v>
      </x:c>
      <x:c r="D5" s="32" t="str">
        <x:v>Unsplash</x:v>
      </x:c>
      <x:c r="E5" s="32" t="str">
        <x:v>Steven Wei</x:v>
      </x:c>
      <x:c r="F5" s="32" t="str">
        <x:v>Unsplash License</x:v>
      </x:c>
      <x:c r="G5" s="32" t="str">
        <x:v>No, but appreciated</x:v>
      </x:c>
      <x:c r="H5" s="32" t="str">
        <x:v>https://unsplash.com/photos/city-skyline-during-night-time-KYsbqtOp-mw</x:v>
      </x:c>
      <x:c r="I5" s="36" t="n">
        <x:v>46204</x:v>
      </x:c>
      <x:c r="J5" s="32" t="str">
        <x:v>Shortlisted</x:v>
      </x:c>
      <x:c r="K5" s="32" t="str">
        <x:v>Good Bund/Pudong skyline image for landing page or cards.</x:v>
      </x:c>
    </x:row>
    <x:row r="6">
      <x:c r="A6" s="32" t="str">
        <x:v>Homepage hero</x:v>
      </x:c>
      <x:c r="B6" s="32" t="str">
        <x:v>Homepage / arrival mood</x:v>
      </x:c>
      <x:c r="C6" s="32" t="str">
        <x:v>Shanghai's skyline stands tall at dusk</x:v>
      </x:c>
      <x:c r="D6" s="32" t="str">
        <x:v>Unsplash</x:v>
      </x:c>
      <x:c r="E6" s="32" t="str">
        <x:v>George Dagerotip</x:v>
      </x:c>
      <x:c r="F6" s="32" t="str">
        <x:v>Unsplash License</x:v>
      </x:c>
      <x:c r="G6" s="32" t="str">
        <x:v>No, but appreciated</x:v>
      </x:c>
      <x:c r="H6" s="32" t="str">
        <x:v>https://unsplash.com/photos/shanghais-skyline-stands-tall-at-dusk-_klbOmCI05I</x:v>
      </x:c>
      <x:c r="I6" s="36" t="n">
        <x:v>46204</x:v>
      </x:c>
      <x:c r="J6" s="32" t="str">
        <x:v>Shortlisted</x:v>
      </x:c>
      <x:c r="K6" s="32" t="str">
        <x:v>Moody dusk image; useful for welcome/settling-in sections.</x:v>
      </x:c>
    </x:row>
    <x:row r="7">
      <x:c r="A7" s="32" t="str">
        <x:v>Homepage hero</x:v>
      </x:c>
      <x:c r="B7" s="32" t="str">
        <x:v>Homepage / general city image</x:v>
      </x:c>
      <x:c r="C7" s="32" t="str">
        <x:v>City skyline across body of water during daytime</x:v>
      </x:c>
      <x:c r="D7" s="32" t="str">
        <x:v>Unsplash</x:v>
      </x:c>
      <x:c r="E7" s="32" t="str">
        <x:v>Night Glow</x:v>
      </x:c>
      <x:c r="F7" s="32" t="str">
        <x:v>Unsplash License</x:v>
      </x:c>
      <x:c r="G7" s="32" t="str">
        <x:v>No, but appreciated</x:v>
      </x:c>
      <x:c r="H7" s="32" t="str">
        <x:v>https://unsplash.com/photos/city-skyline-across-body-of-water-during-daytime-paew4TF9M_A</x:v>
      </x:c>
      <x:c r="I7" s="36" t="n">
        <x:v>46204</x:v>
      </x:c>
      <x:c r="J7" s="32" t="str">
        <x:v>Shortlisted</x:v>
      </x:c>
      <x:c r="K7" s="32" t="str">
        <x:v>Clean daytime city image; useful for neutral website sections.</x:v>
      </x:c>
    </x:row>
    <x:row r="8">
      <x:c r="A8" s="32" t="str">
        <x:v>Homepage hero</x:v>
      </x:c>
      <x:c r="B8" s="32" t="str">
        <x:v>Homepage / golden hour hero</x:v>
      </x:c>
      <x:c r="C8" s="32" t="str">
        <x:v>Modern Shanghai skyline at sunset over the river</x:v>
      </x:c>
      <x:c r="D8" s="32" t="str">
        <x:v>Unsplash</x:v>
      </x:c>
      <x:c r="E8" s="32" t="str">
        <x:v>ZENG YILI</x:v>
      </x:c>
      <x:c r="F8" s="32" t="str">
        <x:v>Unsplash License</x:v>
      </x:c>
      <x:c r="G8" s="32" t="str">
        <x:v>No, but appreciated</x:v>
      </x:c>
      <x:c r="H8" s="32" t="str">
        <x:v>https://unsplash.com/photos/modern-shanghai-skyline-at-sunset-over-the-river-NFMbwZHT6vE</x:v>
      </x:c>
      <x:c r="I8" s="36" t="n">
        <x:v>46204</x:v>
      </x:c>
      <x:c r="J8" s="32" t="str">
        <x:v>Shortlisted</x:v>
      </x:c>
      <x:c r="K8" s="32" t="str">
        <x:v>Warm skyline image; good for homepage or section hero.</x:v>
      </x:c>
    </x:row>
    <x:row r="9">
      <x:c r="A9" s="32" t="str">
        <x:v>Homepage hero</x:v>
      </x:c>
      <x:c r="B9" s="32" t="str">
        <x:v>Homepage / city panorama</x:v>
      </x:c>
      <x:c r="C9" s="32" t="str">
        <x:v>Landscape photo of buildings</x:v>
      </x:c>
      <x:c r="D9" s="32" t="str">
        <x:v>Unsplash</x:v>
      </x:c>
      <x:c r="E9" s="32" t="str">
        <x:v>zhang kaiyv</x:v>
      </x:c>
      <x:c r="F9" s="32" t="str">
        <x:v>Unsplash License</x:v>
      </x:c>
      <x:c r="G9" s="32" t="str">
        <x:v>No, but appreciated</x:v>
      </x:c>
      <x:c r="H9" s="32" t="str">
        <x:v>https://unsplash.com/photos/landscape-photo-of-buildings-Aqc1Ds0pSuw</x:v>
      </x:c>
      <x:c r="I9" s="36" t="n">
        <x:v>46204</x:v>
      </x:c>
      <x:c r="J9" s="32" t="str">
        <x:v>Shortlisted</x:v>
      </x:c>
      <x:c r="K9" s="32" t="str">
        <x:v>Polished Shanghai skyline; suitable for broad Shanghai Connect branding.</x:v>
      </x:c>
    </x:row>
    <x:row r="10">
      <x:c r="A10" s="32" t="str">
        <x:v>Homepage hero</x:v>
      </x:c>
      <x:c r="B10" s="32" t="str">
        <x:v>Homepage / night city</x:v>
      </x:c>
      <x:c r="C10" s="32" t="str">
        <x:v>A large body of water with a city in the background</x:v>
      </x:c>
      <x:c r="D10" s="32" t="str">
        <x:v>Unsplash</x:v>
      </x:c>
      <x:c r="E10" s="32" t="str">
        <x:v>krzhck</x:v>
      </x:c>
      <x:c r="F10" s="32" t="str">
        <x:v>Unsplash License</x:v>
      </x:c>
      <x:c r="G10" s="32" t="str">
        <x:v>No, but appreciated</x:v>
      </x:c>
      <x:c r="H10" s="32" t="str">
        <x:v>https://unsplash.com/photos/a-large-body-of-water-with-a-city-in-the-background-nNJavilD-WQ</x:v>
      </x:c>
      <x:c r="I10" s="36" t="n">
        <x:v>46204</x:v>
      </x:c>
      <x:c r="J10" s="32" t="str">
        <x:v>Shortlisted</x:v>
      </x:c>
      <x:c r="K10" s="32" t="str">
        <x:v>Night skyline with river; good for nightlife/city guide content.</x:v>
      </x:c>
    </x:row>
    <x:row r="11">
      <x:c r="A11" s="32" t="str">
        <x:v>Homepage hero</x:v>
      </x:c>
      <x:c r="B11" s="32" t="str">
        <x:v>Homepage / premium city look</x:v>
      </x:c>
      <x:c r="C11" s="32" t="str">
        <x:v>A long exposure photo of a city at night</x:v>
      </x:c>
      <x:c r="D11" s="32" t="str">
        <x:v>Unsplash</x:v>
      </x:c>
      <x:c r="E11" s="32" t="str">
        <x:v>Wenhao Ruan</x:v>
      </x:c>
      <x:c r="F11" s="32" t="str">
        <x:v>Unsplash License</x:v>
      </x:c>
      <x:c r="G11" s="32" t="str">
        <x:v>No, but appreciated</x:v>
      </x:c>
      <x:c r="H11" s="32" t="str">
        <x:v>https://unsplash.com/photos/a-long-exposure-photo-of-a-city-at-night-ehte1GAtRSs</x:v>
      </x:c>
      <x:c r="I11" s="36" t="n">
        <x:v>46204</x:v>
      </x:c>
      <x:c r="J11" s="32" t="str">
        <x:v>Shortlisted</x:v>
      </x:c>
      <x:c r="K11" s="32" t="str">
        <x:v>Dynamic long-exposure skyline; strong visual for landing page cards.</x:v>
      </x:c>
    </x:row>
    <x:row r="12">
      <x:c r="A12" s="32" t="str">
        <x:v>Homepage hero</x:v>
      </x:c>
      <x:c r="B12" s="32" t="str">
        <x:v>Homepage / landmark close-up</x:v>
      </x:c>
      <x:c r="C12" s="32" t="str">
        <x:v>A large city with a lot of tall buildings</x:v>
      </x:c>
      <x:c r="D12" s="32" t="str">
        <x:v>Unsplash</x:v>
      </x:c>
      <x:c r="E12" s="32" t="str">
        <x:v>Marko Sun</x:v>
      </x:c>
      <x:c r="F12" s="32" t="str">
        <x:v>Unsplash License</x:v>
      </x:c>
      <x:c r="G12" s="32" t="str">
        <x:v>No, but appreciated</x:v>
      </x:c>
      <x:c r="H12" s="32" t="str">
        <x:v>https://unsplash.com/photos/a-large-city-with-a-lot-of-tall-buildings-ckBYHUKFzzQ</x:v>
      </x:c>
      <x:c r="I12" s="36" t="n">
        <x:v>46204</x:v>
      </x:c>
      <x:c r="J12" s="32" t="str">
        <x:v>Shortlisted</x:v>
      </x:c>
      <x:c r="K12" s="32" t="str">
        <x:v>Landmark close-up; useful for Shanghai overview pages.</x:v>
      </x:c>
    </x:row>
    <x:row r="13">
      <x:c r="A13" s="32" t="str">
        <x:v>Street-level Shanghai</x:v>
      </x:c>
      <x:c r="B13" s="32" t="str">
        <x:v>Starter Pack overview</x:v>
      </x:c>
      <x:c r="C13" s="32" t="str">
        <x:v>Cars on road in between high rise buildings during daytime</x:v>
      </x:c>
      <x:c r="D13" s="32" t="str">
        <x:v>Unsplash</x:v>
      </x:c>
      <x:c r="E13" s="32" t="str">
        <x:v>Jorick Jing</x:v>
      </x:c>
      <x:c r="F13" s="32" t="str">
        <x:v>Unsplash License</x:v>
      </x:c>
      <x:c r="G13" s="32" t="str">
        <x:v>No, but appreciated</x:v>
      </x:c>
      <x:c r="H13" s="32" t="str">
        <x:v>https://unsplash.com/photos/cars-on-road-in-between-high-rise-buildings-during-daytime-4I9s1FM6K7I</x:v>
      </x:c>
      <x:c r="I13" s="36" t="n">
        <x:v>46204</x:v>
      </x:c>
      <x:c r="J13" s="32" t="str">
        <x:v>Shortlisted</x:v>
      </x:c>
      <x:c r="K13" s="32" t="str">
        <x:v>Great old/new Shanghai contrast for site overview.</x:v>
      </x:c>
    </x:row>
    <x:row r="14">
      <x:c r="A14" s="32" t="str">
        <x:v>Street-level Shanghai</x:v>
      </x:c>
      <x:c r="B14" s="32" t="str">
        <x:v>Starter Pack overview</x:v>
      </x:c>
      <x:c r="C14" s="32" t="str">
        <x:v>A city street filled with lots of traffic and tall buildings</x:v>
      </x:c>
      <x:c r="D14" s="32" t="str">
        <x:v>Unsplash</x:v>
      </x:c>
      <x:c r="E14" s="32" t="str">
        <x:v>Danie LIU</x:v>
      </x:c>
      <x:c r="F14" s="32" t="str">
        <x:v>Unsplash License</x:v>
      </x:c>
      <x:c r="G14" s="32" t="str">
        <x:v>No, but appreciated</x:v>
      </x:c>
      <x:c r="H14" s="32" t="str">
        <x:v>https://unsplash.com/photos/a-city-street-filled-with-lots-of-traffic-and-tall-buildings-iyKYXSC2RxE</x:v>
      </x:c>
      <x:c r="I14" s="36" t="n">
        <x:v>46204</x:v>
      </x:c>
      <x:c r="J14" s="32" t="str">
        <x:v>Shortlisted</x:v>
      </x:c>
      <x:c r="K14" s="32" t="str">
        <x:v>The Bund street scene; good for practical city navigation content.</x:v>
      </x:c>
    </x:row>
    <x:row r="15">
      <x:c r="A15" s="32" t="str">
        <x:v>Street-level Shanghai</x:v>
      </x:c>
      <x:c r="B15" s="32" t="str">
        <x:v>Getting around / street guide</x:v>
      </x:c>
      <x:c r="C15" s="32" t="str">
        <x:v>A city street with cars and a tall building in the background</x:v>
      </x:c>
      <x:c r="D15" s="32" t="str">
        <x:v>Unsplash</x:v>
      </x:c>
      <x:c r="E15" s="32" t="str">
        <x:v>CHEN HENG</x:v>
      </x:c>
      <x:c r="F15" s="32" t="str">
        <x:v>Unsplash License</x:v>
      </x:c>
      <x:c r="G15" s="32" t="str">
        <x:v>No, but appreciated</x:v>
      </x:c>
      <x:c r="H15" s="32" t="str">
        <x:v>https://unsplash.com/photos/a-city-street-with-cars-and-a-tall-building-in-the-background-OkqTaSYTEFE</x:v>
      </x:c>
      <x:c r="I15" s="36" t="n">
        <x:v>46204</x:v>
      </x:c>
      <x:c r="J15" s="32" t="str">
        <x:v>Shortlisted</x:v>
      </x:c>
      <x:c r="K15" s="32" t="str">
        <x:v>Street with Oriental Pearl in background; good neighbourhood card image.</x:v>
      </x:c>
    </x:row>
    <x:row r="16">
      <x:c r="A16" s="32" t="str">
        <x:v>Street-level Shanghai</x:v>
      </x:c>
      <x:c r="B16" s="32" t="str">
        <x:v>Everyday life / neighbourhoods</x:v>
      </x:c>
      <x:c r="C16" s="32" t="str">
        <x:v>A view of a city from across the street</x:v>
      </x:c>
      <x:c r="D16" s="32" t="str">
        <x:v>Unsplash</x:v>
      </x:c>
      <x:c r="E16" s="32" t="str">
        <x:v>Shiqi ZHAO</x:v>
      </x:c>
      <x:c r="F16" s="32" t="str">
        <x:v>Unsplash License</x:v>
      </x:c>
      <x:c r="G16" s="32" t="str">
        <x:v>No, but appreciated</x:v>
      </x:c>
      <x:c r="H16" s="32" t="str">
        <x:v>https://unsplash.com/photos/a-view-of-a-city-from-across-the-street-G-d47sb_Wwc</x:v>
      </x:c>
      <x:c r="I16" s="36" t="n">
        <x:v>46204</x:v>
      </x:c>
      <x:c r="J16" s="32" t="str">
        <x:v>Shortlisted</x:v>
      </x:c>
      <x:c r="K16" s="32" t="str">
        <x:v>Urban street-level image with skyline depth.</x:v>
      </x:c>
    </x:row>
    <x:row r="17">
      <x:c r="A17" s="32" t="str">
        <x:v>Street-level Shanghai</x:v>
      </x:c>
      <x:c r="B17" s="32" t="str">
        <x:v>Starter Pack / street crossing</x:v>
      </x:c>
      <x:c r="C17" s="32" t="str">
        <x:v>People walking on sidewalk near buildings during daytime</x:v>
      </x:c>
      <x:c r="D17" s="32" t="str">
        <x:v>Unsplash</x:v>
      </x:c>
      <x:c r="E17" s="32" t="str">
        <x:v>Sherwin Ker</x:v>
      </x:c>
      <x:c r="F17" s="32" t="str">
        <x:v>Unsplash License</x:v>
      </x:c>
      <x:c r="G17" s="32" t="str">
        <x:v>No, but appreciated</x:v>
      </x:c>
      <x:c r="H17" s="32" t="str">
        <x:v>https://unsplash.com/photos/people-walking-on-sidewalk-near-buildings-during-daytime-N43_Lz2dCWQ</x:v>
      </x:c>
      <x:c r="I17" s="36" t="n">
        <x:v>46204</x:v>
      </x:c>
      <x:c r="J17" s="32" t="str">
        <x:v>Shortlisted</x:v>
      </x:c>
      <x:c r="K17" s="32" t="str">
        <x:v>Good for pedestrian/neighbourhood guides.</x:v>
      </x:c>
    </x:row>
    <x:row r="18">
      <x:c r="A18" s="32" t="str">
        <x:v>Street-level Shanghai</x:v>
      </x:c>
      <x:c r="B18" s="32" t="str">
        <x:v>Neighbourhood guide</x:v>
      </x:c>
      <x:c r="C18" s="32" t="str">
        <x:v>A city street filled with lots of tall buildings</x:v>
      </x:c>
      <x:c r="D18" s="32" t="str">
        <x:v>Unsplash</x:v>
      </x:c>
      <x:c r="E18" s="32" t="str">
        <x:v>Yuui Chu</x:v>
      </x:c>
      <x:c r="F18" s="32" t="str">
        <x:v>Unsplash License</x:v>
      </x:c>
      <x:c r="G18" s="32" t="str">
        <x:v>No, but appreciated</x:v>
      </x:c>
      <x:c r="H18" s="32" t="str">
        <x:v>https://unsplash.com/photos/a-city-street-filled-with-lots-of-tall-buildings-7cUSf7_ikY0</x:v>
      </x:c>
      <x:c r="I18" s="36" t="n">
        <x:v>46204</x:v>
      </x:c>
      <x:c r="J18" s="32" t="str">
        <x:v>Shortlisted</x:v>
      </x:c>
      <x:c r="K18" s="32" t="str">
        <x:v>Modern urban street/courtyard scene for neighbourhood pages.</x:v>
      </x:c>
    </x:row>
    <x:row r="19">
      <x:c r="A19" s="32" t="str">
        <x:v>Food &amp; lifestyle</x:v>
      </x:c>
      <x:c r="B19" s="32" t="str">
        <x:v>Dining / food guide</x:v>
      </x:c>
      <x:c r="C19" s="32" t="str">
        <x:v>People sitting on restaurant during nighttime</x:v>
      </x:c>
      <x:c r="D19" s="32" t="str">
        <x:v>Unsplash</x:v>
      </x:c>
      <x:c r="E19" s="32" t="str">
        <x:v>Max van den Oetelaar</x:v>
      </x:c>
      <x:c r="F19" s="32" t="str">
        <x:v>Unsplash License</x:v>
      </x:c>
      <x:c r="G19" s="32" t="str">
        <x:v>No, but appreciated</x:v>
      </x:c>
      <x:c r="H19" s="32" t="str">
        <x:v>https://unsplash.com/photos/people-sitting-on-restaurant-during-nighttime-3r-KcKzlt8Y</x:v>
      </x:c>
      <x:c r="I19" s="36" t="n">
        <x:v>46204</x:v>
      </x:c>
      <x:c r="J19" s="32" t="str">
        <x:v>Shortlisted</x:v>
      </x:c>
      <x:c r="K19" s="32" t="str">
        <x:v>Restaurant/night street vibe; useful for food and evening guides.</x:v>
      </x:c>
    </x:row>
    <x:row r="20">
      <x:c r="A20" s="32" t="str">
        <x:v>Food &amp; lifestyle</x:v>
      </x:c>
      <x:c r="B20" s="32" t="str">
        <x:v>Cafe / lifestyle cards</x:v>
      </x:c>
      <x:c r="C20" s="32" t="str">
        <x:v>Black leather sofa</x:v>
      </x:c>
      <x:c r="D20" s="32" t="str">
        <x:v>Unsplash</x:v>
      </x:c>
      <x:c r="E20" s="32" t="str">
        <x:v>晋欣 牛</x:v>
      </x:c>
      <x:c r="F20" s="32" t="str">
        <x:v>Unsplash License</x:v>
      </x:c>
      <x:c r="G20" s="32" t="str">
        <x:v>No, but appreciated</x:v>
      </x:c>
      <x:c r="H20" s="32" t="str">
        <x:v>https://unsplash.com/photos/black-leather-sofa-TeFv3RoEaXE</x:v>
      </x:c>
      <x:c r="I20" s="36" t="n">
        <x:v>46204</x:v>
      </x:c>
      <x:c r="J20" s="32" t="str">
        <x:v>Shortlisted</x:v>
      </x:c>
      <x:c r="K20" s="32" t="str">
        <x:v>Interior/cafe-style image; useful for lifestyle page backgrounds.</x:v>
      </x:c>
    </x:row>
    <x:row r="21">
      <x:c r="A21" s="32" t="str">
        <x:v>Food &amp; lifestyle</x:v>
      </x:c>
      <x:c r="B21" s="32" t="str">
        <x:v>Markets / hidden local life</x:v>
      </x:c>
      <x:c r="C21" s="32" t="str">
        <x:v>People in store during nighttime</x:v>
      </x:c>
      <x:c r="D21" s="32" t="str">
        <x:v>Unsplash</x:v>
      </x:c>
      <x:c r="E21" s="32" t="str">
        <x:v>Max van den Oetelaar</x:v>
      </x:c>
      <x:c r="F21" s="32" t="str">
        <x:v>Unsplash License</x:v>
      </x:c>
      <x:c r="G21" s="32" t="str">
        <x:v>No, but appreciated</x:v>
      </x:c>
      <x:c r="H21" s="32" t="str">
        <x:v>https://unsplash.com/photos/people-in-store-during-nighttime-jDfwFx82QUk</x:v>
      </x:c>
      <x:c r="I21" s="36" t="n">
        <x:v>46204</x:v>
      </x:c>
      <x:c r="J21" s="32" t="str">
        <x:v>Shortlisted</x:v>
      </x:c>
      <x:c r="K21" s="32" t="str">
        <x:v>Local market/neon street image; good for grocery or street food guides.</x:v>
      </x:c>
    </x:row>
    <x:row r="22">
      <x:c r="A22" s="32" t="str">
        <x:v>Transportation</x:v>
      </x:c>
      <x:c r="B22" s="32" t="str">
        <x:v>Metro guide</x:v>
      </x:c>
      <x:c r="C22" s="32" t="str">
        <x:v>Group of people riding train</x:v>
      </x:c>
      <x:c r="D22" s="32" t="str">
        <x:v>Unsplash</x:v>
      </x:c>
      <x:c r="E22" s="32" t="str">
        <x:v>Nuno Alberto</x:v>
      </x:c>
      <x:c r="F22" s="32" t="str">
        <x:v>Unsplash License</x:v>
      </x:c>
      <x:c r="G22" s="32" t="str">
        <x:v>No, but appreciated</x:v>
      </x:c>
      <x:c r="H22" s="32" t="str">
        <x:v>https://unsplash.com/photos/group-of-people-riding-train-BBNZK3z1osQ</x:v>
      </x:c>
      <x:c r="I22" s="36" t="n">
        <x:v>46204</x:v>
      </x:c>
      <x:c r="J22" s="32" t="str">
        <x:v>Shortlisted</x:v>
      </x:c>
      <x:c r="K22" s="32" t="str">
        <x:v>Shanghai Metro Line 2; excellent for metro guide.</x:v>
      </x:c>
    </x:row>
    <x:row r="23">
      <x:c r="A23" s="32" t="str">
        <x:v>Transportation</x:v>
      </x:c>
      <x:c r="B23" s="32" t="str">
        <x:v>Metro guide</x:v>
      </x:c>
      <x:c r="C23" s="32" t="str">
        <x:v>People walking on gray concrete sidewalk during daytime</x:v>
      </x:c>
      <x:c r="D23" s="32" t="str">
        <x:v>Unsplash</x:v>
      </x:c>
      <x:c r="E23" s="32" t="str">
        <x:v>烧不酥在上海 老的</x:v>
      </x:c>
      <x:c r="F23" s="32" t="str">
        <x:v>Unsplash License</x:v>
      </x:c>
      <x:c r="G23" s="32" t="str">
        <x:v>No, but appreciated</x:v>
      </x:c>
      <x:c r="H23" s="32" t="str">
        <x:v>https://unsplash.com/it/foto/persone-che-camminano-sul-marciapiede-di-cemento-grigio-durante-il-giorno-kr_mYwcNu20</x:v>
      </x:c>
      <x:c r="I23" s="36" t="n">
        <x:v>46204</x:v>
      </x:c>
      <x:c r="J23" s="32" t="str">
        <x:v>Shortlisted</x:v>
      </x:c>
      <x:c r="K23" s="32" t="str">
        <x:v>Metro platform/station signage; useful for public transport guide.</x:v>
      </x:c>
    </x:row>
    <x:row r="24">
      <x:c r="A24" s="32" t="str">
        <x:v>Transportation</x:v>
      </x:c>
      <x:c r="B24" s="32" t="str">
        <x:v>Metro / transit card</x:v>
      </x:c>
      <x:c r="C24" s="32" t="str">
        <x:v>A black and white photo of a subway</x:v>
      </x:c>
      <x:c r="D24" s="32" t="str">
        <x:v>Unsplash</x:v>
      </x:c>
      <x:c r="E24" s="32" t="str">
        <x:v>Chi Xiang</x:v>
      </x:c>
      <x:c r="F24" s="32" t="str">
        <x:v>Unsplash License</x:v>
      </x:c>
      <x:c r="G24" s="32" t="str">
        <x:v>No, but appreciated</x:v>
      </x:c>
      <x:c r="H24" s="32" t="str">
        <x:v>https://unsplash.com/photos/a-black-and-white-photo-of-a-subway-HEF6JemDHCM</x:v>
      </x:c>
      <x:c r="I24" s="36" t="n">
        <x:v>46204</x:v>
      </x:c>
      <x:c r="J24" s="32" t="str">
        <x:v>Shortlisted</x:v>
      </x:c>
      <x:c r="K24" s="32" t="str">
        <x:v>Stylized metro/tunnel image; good for design contrast.</x:v>
      </x:c>
    </x:row>
    <x:row r="25">
      <x:c r="A25" s="32" t="str">
        <x:v>Transportation</x:v>
      </x:c>
      <x:c r="B25" s="32" t="str">
        <x:v>Metro / commute guide</x:v>
      </x:c>
      <x:c r="C25" s="32" t="str">
        <x:v>Grayscale photography of people inside building with glass wall</x:v>
      </x:c>
      <x:c r="D25" s="32" t="str">
        <x:v>Unsplash</x:v>
      </x:c>
      <x:c r="E25" s="32" t="str">
        <x:v>kiryl</x:v>
      </x:c>
      <x:c r="F25" s="32" t="str">
        <x:v>Unsplash License</x:v>
      </x:c>
      <x:c r="G25" s="32" t="str">
        <x:v>No, but appreciated</x:v>
      </x:c>
      <x:c r="H25" s="32" t="str">
        <x:v>https://unsplash.com/photos/grayscale-photography-of-people-inside-building-with-glass-wall-Qt62RLf9k_Y</x:v>
      </x:c>
      <x:c r="I25" s="36" t="n">
        <x:v>46204</x:v>
      </x:c>
      <x:c r="J25" s="32" t="str">
        <x:v>Shortlisted</x:v>
      </x:c>
      <x:c r="K25" s="32" t="str">
        <x:v>Metro commuter scene; useful for practical guide.</x:v>
      </x:c>
    </x:row>
    <x:row r="26">
      <x:c r="A26" s="32" t="str">
        <x:v>Transportation</x:v>
      </x:c>
      <x:c r="B26" s="32" t="str">
        <x:v>Metro / regional mobility</x:v>
      </x:c>
      <x:c r="C26" s="32" t="str">
        <x:v>A train on a bridge</x:v>
      </x:c>
      <x:c r="D26" s="32" t="str">
        <x:v>Unsplash</x:v>
      </x:c>
      <x:c r="E26" s="32" t="str">
        <x:v>Alvan Nee</x:v>
      </x:c>
      <x:c r="F26" s="32" t="str">
        <x:v>Unsplash License</x:v>
      </x:c>
      <x:c r="G26" s="32" t="str">
        <x:v>No, but appreciated</x:v>
      </x:c>
      <x:c r="H26" s="32" t="str">
        <x:v>https://unsplash.com/photos/a-train-on-a-bridge-GsS7XrXMVpI</x:v>
      </x:c>
      <x:c r="I26" s="36" t="n">
        <x:v>46204</x:v>
      </x:c>
      <x:c r="J26" s="32" t="str">
        <x:v>Shortlisted</x:v>
      </x:c>
      <x:c r="K26" s="32" t="str">
        <x:v>Train at sunset; useful for transport/commuting page.</x:v>
      </x:c>
    </x:row>
    <x:row r="27">
      <x:c r="A27" s="32" t="str">
        <x:v>Arrival guide</x:v>
      </x:c>
      <x:c r="B27" s="32" t="str">
        <x:v>Airport / landing in Shanghai</x:v>
      </x:c>
      <x:c r="C27" s="32" t="str">
        <x:v>A view of an airport through a window</x:v>
      </x:c>
      <x:c r="D27" s="32" t="str">
        <x:v>Unsplash</x:v>
      </x:c>
      <x:c r="E27" s="32" t="str">
        <x:v>YQ Tian</x:v>
      </x:c>
      <x:c r="F27" s="32" t="str">
        <x:v>Unsplash License</x:v>
      </x:c>
      <x:c r="G27" s="32" t="str">
        <x:v>No, but appreciated</x:v>
      </x:c>
      <x:c r="H27" s="32" t="str">
        <x:v>https://unsplash.com/photos/a-view-of-an-airport-through-a-window-iPM33xrVkIg</x:v>
      </x:c>
      <x:c r="I27" s="36" t="n">
        <x:v>46204</x:v>
      </x:c>
      <x:c r="J27" s="32" t="str">
        <x:v>Shortlisted</x:v>
      </x:c>
      <x:c r="K27" s="32" t="str">
        <x:v>Pudong airport terminal/aircraft view.</x:v>
      </x:c>
    </x:row>
    <x:row r="28">
      <x:c r="A28" s="32" t="str">
        <x:v>Arrival guide</x:v>
      </x:c>
      <x:c r="B28" s="32" t="str">
        <x:v>Airport / Hongqiao travel</x:v>
      </x:c>
      <x:c r="C28" s="32" t="str">
        <x:v>A view of an airport through a window</x:v>
      </x:c>
      <x:c r="D28" s="32" t="str">
        <x:v>Unsplash</x:v>
      </x:c>
      <x:c r="E28" s="32" t="str">
        <x:v>Haoli Chen</x:v>
      </x:c>
      <x:c r="F28" s="32" t="str">
        <x:v>Unsplash License</x:v>
      </x:c>
      <x:c r="G28" s="32" t="str">
        <x:v>No, but appreciated</x:v>
      </x:c>
      <x:c r="H28" s="32" t="str">
        <x:v>https://unsplash.com/photos/a-view-of-an-airport-through-a-window-mH46qrxf4eE</x:v>
      </x:c>
      <x:c r="I28" s="36" t="n">
        <x:v>46204</x:v>
      </x:c>
      <x:c r="J28" s="32" t="str">
        <x:v>Shortlisted</x:v>
      </x:c>
      <x:c r="K28" s="32" t="str">
        <x:v>Hongqiao airport view; useful for airport comparison/arrival pages.</x:v>
      </x:c>
    </x:row>
    <x:row r="29">
      <x:c r="A29" s="32" t="str">
        <x:v>Arrival guide</x:v>
      </x:c>
      <x:c r="B29" s="32" t="str">
        <x:v>Airport / aviation</x:v>
      </x:c>
      <x:c r="C29" s="32" t="str">
        <x:v>A group of people watching a plane take off</x:v>
      </x:c>
      <x:c r="D29" s="32" t="str">
        <x:v>Unsplash</x:v>
      </x:c>
      <x:c r="E29" s="32" t="str">
        <x:v>Richard Lu</x:v>
      </x:c>
      <x:c r="F29" s="32" t="str">
        <x:v>Unsplash License</x:v>
      </x:c>
      <x:c r="G29" s="32" t="str">
        <x:v>No, but appreciated</x:v>
      </x:c>
      <x:c r="H29" s="32" t="str">
        <x:v>https://unsplash.com/photos/a-group-of-people-watching-a-plane-take-off-bGKpfsi-bAs</x:v>
      </x:c>
      <x:c r="I29" s="36" t="n">
        <x:v>46204</x:v>
      </x:c>
      <x:c r="J29" s="32" t="str">
        <x:v>Shortlisted</x:v>
      </x:c>
      <x:c r="K29" s="32" t="str">
        <x:v>PVG plane/aviation scene; avoid using as safety/instructional image.</x:v>
      </x:c>
    </x:row>
    <x:row r="30">
      <x:c r="A30" s="32" t="str">
        <x:v>Arrival guide</x:v>
      </x:c>
      <x:c r="B30" s="32" t="str">
        <x:v>Airport / terminal interior</x:v>
      </x:c>
      <x:c r="C30" s="32" t="str">
        <x:v>A black and white photo of an airport terminal</x:v>
      </x:c>
      <x:c r="D30" s="32" t="str">
        <x:v>Unsplash</x:v>
      </x:c>
      <x:c r="E30" s="32" t="str">
        <x:v>Elliot Voilmy</x:v>
      </x:c>
      <x:c r="F30" s="32" t="str">
        <x:v>Unsplash License</x:v>
      </x:c>
      <x:c r="G30" s="32" t="str">
        <x:v>No, but appreciated</x:v>
      </x:c>
      <x:c r="H30" s="32" t="str">
        <x:v>https://unsplash.com/photos/a-black-and-white-photo-of-an-airport-terminal-ZgWBW35qP4o</x:v>
      </x:c>
      <x:c r="I30" s="36" t="n">
        <x:v>46204</x:v>
      </x:c>
      <x:c r="J30" s="32" t="str">
        <x:v>Shortlisted</x:v>
      </x:c>
      <x:c r="K30" s="32" t="str">
        <x:v>Hongqiao terminal interior; polished monochrome image.</x:v>
      </x:c>
    </x:row>
    <x:row r="31">
      <x:c r="A31" s="32" t="str">
        <x:v>Essential apps</x:v>
      </x:c>
      <x:c r="B31" s="32" t="str">
        <x:v>Apps / maps / getting around</x:v>
      </x:c>
      <x:c r="C31" s="32" t="str">
        <x:v>Phone displaying navigation app during a night drive</x:v>
      </x:c>
      <x:c r="D31" s="32" t="str">
        <x:v>Unsplash</x:v>
      </x:c>
      <x:c r="E31" s="32" t="str">
        <x:v>Andre DM</x:v>
      </x:c>
      <x:c r="F31" s="32" t="str">
        <x:v>Unsplash License</x:v>
      </x:c>
      <x:c r="G31" s="32" t="str">
        <x:v>No, but appreciated</x:v>
      </x:c>
      <x:c r="H31" s="32" t="str">
        <x:v>https://unsplash.com/photos/phone-displaying-navigation-app-during-a-night-drive-CcX0QdTMeho</x:v>
      </x:c>
      <x:c r="I31" s="36" t="n">
        <x:v>46204</x:v>
      </x:c>
      <x:c r="J31" s="32" t="str">
        <x:v>Shortlisted</x:v>
      </x:c>
      <x:c r="K31" s="32" t="str">
        <x:v>Generic navigation image; good for map/app guide. Check app UI trademark use if prominent.</x:v>
      </x:c>
    </x:row>
    <x:row r="32">
      <x:c r="A32" s="32" t="str">
        <x:v>Essential apps</x:v>
      </x:c>
      <x:c r="B32" s="32" t="str">
        <x:v>Apps / ride-hailing / maps</x:v>
      </x:c>
      <x:c r="C32" s="32" t="str">
        <x:v>Man using turned-on smartphone</x:v>
      </x:c>
      <x:c r="D32" s="32" t="str">
        <x:v>Unsplash</x:v>
      </x:c>
      <x:c r="E32" s="32" t="str">
        <x:v>Charles Deluvio</x:v>
      </x:c>
      <x:c r="F32" s="32" t="str">
        <x:v>Unsplash License</x:v>
      </x:c>
      <x:c r="G32" s="32" t="str">
        <x:v>No, but appreciated</x:v>
      </x:c>
      <x:c r="H32" s="32" t="str">
        <x:v>https://unsplash.com/photos/man-using-turned-on-smartphone-HjSdOirGJu8</x:v>
      </x:c>
      <x:c r="I32" s="36" t="n">
        <x:v>46204</x:v>
      </x:c>
      <x:c r="J32" s="32" t="str">
        <x:v>Shortlisted</x:v>
      </x:c>
      <x:c r="K32" s="32" t="str">
        <x:v>Generic phone/navigation close-up; useful where Shanghai-specific photo is not needed.</x:v>
      </x:c>
    </x:row>
    <x:row r="33">
      <x:c r="A33" s="32" t="str">
        <x:v>Essential apps</x:v>
      </x:c>
      <x:c r="B33" s="32" t="str">
        <x:v>Apps / navigation</x:v>
      </x:c>
      <x:c r="C33" s="32" t="str">
        <x:v>Smartphone navigation app displaying a route on car dashboard</x:v>
      </x:c>
      <x:c r="D33" s="32" t="str">
        <x:v>Unsplash</x:v>
      </x:c>
      <x:c r="E33" s="32" t="str">
        <x:v>William Hadley</x:v>
      </x:c>
      <x:c r="F33" s="32" t="str">
        <x:v>Unsplash License</x:v>
      </x:c>
      <x:c r="G33" s="32" t="str">
        <x:v>No, but appreciated</x:v>
      </x:c>
      <x:c r="H33" s="32" t="str">
        <x:v>https://unsplash.com/photos/smartphone-navigation-app-displaying-a-route-on-car-dashboard-P85dQzlsPlc</x:v>
      </x:c>
      <x:c r="I33" s="36" t="n">
        <x:v>46204</x:v>
      </x:c>
      <x:c r="J33" s="32" t="str">
        <x:v>Shortlisted</x:v>
      </x:c>
      <x:c r="K33" s="32" t="str">
        <x:v>Useful for map/rideshare content; avoid implying endorsement by app shown.</x:v>
      </x:c>
    </x:row>
    <x:row r="34">
      <x:c r="A34" s="32" t="str">
        <x:v>Essential apps</x:v>
      </x:c>
      <x:c r="B34" s="32" t="str">
        <x:v>Apps / navigation</x:v>
      </x:c>
      <x:c r="C34" s="32" t="str">
        <x:v>Smartphone with navigation app mounted in car</x:v>
      </x:c>
      <x:c r="D34" s="32" t="str">
        <x:v>Unsplash</x:v>
      </x:c>
      <x:c r="E34" s="32" t="str">
        <x:v>Alicia Christin Gerald</x:v>
      </x:c>
      <x:c r="F34" s="32" t="str">
        <x:v>Unsplash License</x:v>
      </x:c>
      <x:c r="G34" s="32" t="str">
        <x:v>No, but appreciated</x:v>
      </x:c>
      <x:c r="H34" s="32" t="str">
        <x:v>https://unsplash.com/photos/smartphone-with-navigation-app-mounted-in-car-xdEeISgxyBI</x:v>
      </x:c>
      <x:c r="I34" s="36" t="n">
        <x:v>46204</x:v>
      </x:c>
      <x:c r="J34" s="32" t="str">
        <x:v>Shortlisted</x:v>
      </x:c>
      <x:c r="K34" s="32" t="str">
        <x:v>Generic navigation visual; check visible interface before final use.</x:v>
      </x:c>
    </x:row>
    <x:row r="35">
      <x:c r="A35" s="32" t="str">
        <x:v>VPN &amp; internet</x:v>
      </x:c>
      <x:c r="B35" s="32" t="str">
        <x:v>VPN / remote work / digital setup</x:v>
      </x:c>
      <x:c r="C35" s="32" t="str">
        <x:v>A glass of liquid next to a laptop on a table</x:v>
      </x:c>
      <x:c r="D35" s="32" t="str">
        <x:v>Unsplash</x:v>
      </x:c>
      <x:c r="E35" s="32" t="str">
        <x:v>Sincerely Media</x:v>
      </x:c>
      <x:c r="F35" s="32" t="str">
        <x:v>Unsplash License</x:v>
      </x:c>
      <x:c r="G35" s="32" t="str">
        <x:v>No, but appreciated</x:v>
      </x:c>
      <x:c r="H35" s="32" t="str">
        <x:v>https://unsplash.com/es/fotos/un-vaso-de-liquido-junto-a-una-computadora-portatil-sobre-una-mesa-09YuBkwq4yI</x:v>
      </x:c>
      <x:c r="I35" s="36" t="n">
        <x:v>46204</x:v>
      </x:c>
      <x:c r="J35" s="32" t="str">
        <x:v>Shortlisted</x:v>
      </x:c>
      <x:c r="K35" s="32" t="str">
        <x:v>Remote work/cafe image for internet/VPN page.</x:v>
      </x:c>
    </x:row>
    <x:row r="36">
      <x:c r="A36" s="32" t="str">
        <x:v>VPN &amp; internet</x:v>
      </x:c>
      <x:c r="B36" s="32" t="str">
        <x:v>VPN / work from cafe</x:v>
      </x:c>
      <x:c r="C36" s="32" t="str">
        <x:v>Woman working on laptop at outdoor cafe table</x:v>
      </x:c>
      <x:c r="D36" s="32" t="str">
        <x:v>Unsplash</x:v>
      </x:c>
      <x:c r="E36" s="32" t="str">
        <x:v>Jim Luo</x:v>
      </x:c>
      <x:c r="F36" s="32" t="str">
        <x:v>Unsplash License</x:v>
      </x:c>
      <x:c r="G36" s="32" t="str">
        <x:v>No, but appreciated</x:v>
      </x:c>
      <x:c r="H36" s="32" t="str">
        <x:v>https://unsplash.com/photos/woman-working-on-laptop-at-outdoor-cafe-table-gwRhv5Pv9zI</x:v>
      </x:c>
      <x:c r="I36" s="36" t="n">
        <x:v>46204</x:v>
      </x:c>
      <x:c r="J36" s="32" t="str">
        <x:v>Shortlisted</x:v>
      </x:c>
      <x:c r="K36" s="32" t="str">
        <x:v>Good for digital nomad/remote work content; check model release concerns for identifiable person.</x:v>
      </x:c>
    </x:row>
    <x:row r="37">
      <x:c r="A37" s="32" t="str">
        <x:v>Foreign groceries</x:v>
      </x:c>
      <x:c r="B37" s="32" t="str">
        <x:v>Grocery guide</x:v>
      </x:c>
      <x:c r="C37" s="32" t="str">
        <x:v>People inside a traditional asian grocery store</x:v>
      </x:c>
      <x:c r="D37" s="32" t="str">
        <x:v>Unsplash</x:v>
      </x:c>
      <x:c r="E37" s="32" t="str">
        <x:v>Artem Korolev</x:v>
      </x:c>
      <x:c r="F37" s="32" t="str">
        <x:v>Unsplash License</x:v>
      </x:c>
      <x:c r="G37" s="32" t="str">
        <x:v>No, but appreciated</x:v>
      </x:c>
      <x:c r="H37" s="32" t="str">
        <x:v>https://unsplash.com/photos/people-inside-a-traditional-asian-grocery-store-6F-XAZmDo1k</x:v>
      </x:c>
      <x:c r="I37" s="36" t="n">
        <x:v>46204</x:v>
      </x:c>
      <x:c r="J37" s="32" t="str">
        <x:v>Shortlisted</x:v>
      </x:c>
      <x:c r="K37" s="32" t="str">
        <x:v>Asian grocery/local store image; good for foreign grocery guide.</x:v>
      </x:c>
    </x:row>
    <x:row r="38">
      <x:c r="A38" s="32" t="str">
        <x:v>Foreign groceries</x:v>
      </x:c>
      <x:c r="B38" s="32" t="str">
        <x:v>Grocery guide</x:v>
      </x:c>
      <x:c r="C38" s="32" t="str">
        <x:v>A grocery store aisle filled with lots of products</x:v>
      </x:c>
      <x:c r="D38" s="32" t="str">
        <x:v>Unsplash</x:v>
      </x:c>
      <x:c r="E38" s="32" t="str">
        <x:v>Osarugue Igbinoba</x:v>
      </x:c>
      <x:c r="F38" s="32" t="str">
        <x:v>Unsplash License</x:v>
      </x:c>
      <x:c r="G38" s="32" t="str">
        <x:v>No, but appreciated</x:v>
      </x:c>
      <x:c r="H38" s="32" t="str">
        <x:v>https://unsplash.com/photos/a-grocery-store-aisle-filled-with-lots-of-products-Y3yV5Rg5oeI</x:v>
      </x:c>
      <x:c r="I38" s="36" t="n">
        <x:v>46204</x:v>
      </x:c>
      <x:c r="J38" s="32" t="str">
        <x:v>Shortlisted</x:v>
      </x:c>
      <x:c r="K38" s="32" t="str">
        <x:v>Generic supermarket aisle; good for international grocery guide.</x:v>
      </x:c>
    </x:row>
    <x:row r="39">
      <x:c r="A39" s="32" t="str">
        <x:v>Foreign groceries</x:v>
      </x:c>
      <x:c r="B39" s="32" t="str">
        <x:v>Grocery guide</x:v>
      </x:c>
      <x:c r="C39" s="32" t="str">
        <x:v>A store front with a variety of fruits and vegetables</x:v>
      </x:c>
      <x:c r="D39" s="32" t="str">
        <x:v>Unsplash</x:v>
      </x:c>
      <x:c r="E39" s="32" t="str">
        <x:v>Chelaxy Designs</x:v>
      </x:c>
      <x:c r="F39" s="32" t="str">
        <x:v>Unsplash License</x:v>
      </x:c>
      <x:c r="G39" s="32" t="str">
        <x:v>No, but appreciated</x:v>
      </x:c>
      <x:c r="H39" s="32" t="str">
        <x:v>https://unsplash.com/photos/a-store-front-with-a-variety-of-fruits-and-vegetables-EHQ8ZP27JT0</x:v>
      </x:c>
      <x:c r="I39" s="36" t="n">
        <x:v>46204</x:v>
      </x:c>
      <x:c r="J39" s="32" t="str">
        <x:v>Shortlisted</x:v>
      </x:c>
      <x:c r="K39" s="32" t="str">
        <x:v>Market/fruit storefront; strong local retail feel.</x:v>
      </x:c>
    </x:row>
    <x:row r="40">
      <x:c r="A40" s="32" t="str">
        <x:v>Foreign groceries</x:v>
      </x:c>
      <x:c r="B40" s="32" t="str">
        <x:v>Grocery guide</x:v>
      </x:c>
      <x:c r="C40" s="32" t="str">
        <x:v>A store filled with lots of different types of food</x:v>
      </x:c>
      <x:c r="D40" s="32" t="str">
        <x:v>Unsplash</x:v>
      </x:c>
      <x:c r="E40" s="32" t="str">
        <x:v>Bernd Dittrich</x:v>
      </x:c>
      <x:c r="F40" s="32" t="str">
        <x:v>Unsplash License</x:v>
      </x:c>
      <x:c r="G40" s="32" t="str">
        <x:v>No, but appreciated</x:v>
      </x:c>
      <x:c r="H40" s="32" t="str">
        <x:v>https://unsplash.com/photos/a-store-filled-with-lots-of-different-types-of-food-yU-dEJJsYG8</x:v>
      </x:c>
      <x:c r="I40" s="36" t="n">
        <x:v>46204</x:v>
      </x:c>
      <x:c r="J40" s="32" t="str">
        <x:v>Shortlisted</x:v>
      </x:c>
      <x:c r="K40" s="32" t="str">
        <x:v>Asian grocery shelves; Hong Kong location, so label as generic China/HK-style grocery, not Shanghai-specific.</x:v>
      </x:c>
    </x:row>
    <x:row r="41">
      <x:c r="A41" s="32" t="str">
        <x:v>History &amp; culture</x:v>
      </x:c>
      <x:c r="B41" s="32" t="str">
        <x:v>Historical Shanghai / context page</x:v>
      </x:c>
      <x:c r="C41" s="32" t="str">
        <x:v>Shanghai, The Bund from Jin Mao</x:v>
      </x:c>
      <x:c r="D41" s="32" t="str">
        <x:v>Wikimedia Commons</x:v>
      </x:c>
      <x:c r="E41" s="32" t="str">
        <x:v>airunp</x:v>
      </x:c>
      <x:c r="F41" s="32" t="str">
        <x:v>Public Domain / PD-user</x:v>
      </x:c>
      <x:c r="G41" s="32" t="str">
        <x:v>No</x:v>
      </x:c>
      <x:c r="H41" s="32" t="str">
        <x:v>https://commons.wikimedia.org/wiki/File:Shanghai_the_bund_from_Jin_Mao.JPG</x:v>
      </x:c>
      <x:c r="I41" s="36" t="n">
        <x:v>46204</x:v>
      </x:c>
      <x:c r="J41" s="32" t="str">
        <x:v>Shortlisted</x:v>
      </x:c>
      <x:c r="K41" s="32" t="str">
        <x:v>Public domain image; useful for city/history page.</x:v>
      </x:c>
    </x:row>
    <x:row r="42">
      <x:c r="A42" s="32" t="str">
        <x:v>History &amp; culture</x:v>
      </x:c>
      <x:c r="B42" s="32" t="str">
        <x:v>Historical Bund / old Shanghai</x:v>
      </x:c>
      <x:c r="C42" s="32" t="str">
        <x:v>The Bund - Shanghai</x:v>
      </x:c>
      <x:c r="D42" s="32" t="str">
        <x:v>Oldpics</x:v>
      </x:c>
      <x:c r="E42" s="32" t="str">
        <x:v>old-photos</x:v>
      </x:c>
      <x:c r="F42" s="32" t="str">
        <x:v>No Known Copyright Restrictions</x:v>
      </x:c>
      <x:c r="G42" s="32" t="str">
        <x:v>Check source note</x:v>
      </x:c>
      <x:c r="H42" s="32" t="str">
        <x:v>https://www.oldpics.org/en/photo/the-bund---shanghai-1121/</x:v>
      </x:c>
      <x:c r="I42" s="36" t="n">
        <x:v>46204</x:v>
      </x:c>
      <x:c r="J42" s="32" t="str">
        <x:v>Shortlisted</x:v>
      </x:c>
      <x:c r="K42" s="32" t="str">
        <x:v>Historical Bund image; verify final source/original file before publishing.</x:v>
      </x:c>
    </x:row>
    <x:row r="43">
      <x:c r="A43" s="32" t="str">
        <x:v>History &amp; culture</x:v>
      </x:c>
      <x:c r="B43" s="32" t="str">
        <x:v>Modern/historical urban form</x:v>
      </x:c>
      <x:c r="C43" s="32" t="str">
        <x:v>Curved Ramp to The Bund, Shanghai</x:v>
      </x:c>
      <x:c r="D43" s="32" t="str">
        <x:v>Wikimedia Commons</x:v>
      </x:c>
      <x:c r="E43" s="32" t="str">
        <x:v>Hans-Peter Bärtschi</x:v>
      </x:c>
      <x:c r="F43" s="32" t="str">
        <x:v>CC BY-SA 4.0</x:v>
      </x:c>
      <x:c r="G43" s="32" t="str">
        <x:v>Yes + share-alike</x:v>
      </x:c>
      <x:c r="H43" s="32" t="str">
        <x:v>https://commons.wikimedia.org/wiki/File:Curved_Ramp_to_The_Bund,_Shanghai_(SIK_03-055288-Print).jpg</x:v>
      </x:c>
      <x:c r="I43" s="36" t="n">
        <x:v>46204</x:v>
      </x:c>
      <x:c r="J43" s="32" t="str">
        <x:v>Needs attribution</x:v>
      </x:c>
      <x:c r="K43" s="32" t="str">
        <x:v>Use only if attribution and share-alike obligations are acceptable.</x:v>
      </x:c>
    </x:row>
  </x:sheetData>
  <x:mergeCells>
    <x:mergeCell ref="A1:K1"/>
    <x:mergeCell ref="A2:K2"/>
  </x:mergeCells>
  <x:conditionalFormatting sqref="J4:J43">
    <x:cfRule type="expression" dxfId="0" priority="1">
      <x:formula>J4="Needs attribution"</x:formula>
    </x:cfRule>
    <x:cfRule type="expression" dxfId="1" priority="2">
      <x:formula>J4="Needs review"</x:formula>
    </x:cfRule>
    <x:cfRule type="expression" dxfId="2" priority="3">
      <x:formula>J4="Downloaded"</x:formula>
    </x:cfRule>
    <x:cfRule type="expression" dxfId="3" priority="4">
      <x:formula>J4="Shortlisted"</x:formula>
    </x:cfRule>
  </x:conditionalFormatting>
  <x:dataValidations count="1">
    <x:dataValidation type="list" sqref="J4:J43">
      <x:formula1>"Shortlisted,Downloaded,Needs attribution,Needs review,Rejected"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33c6485dc646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46" hidden="0" customWidth="1"/>
    <x:col min="4" max="4" width="48" hidden="0" customWidth="1"/>
  </x:cols>
  <x:sheetData>
    <x:row r="1" ht="30" customHeight="1">
      <x:c r="A1" s="40" t="str">
        <x:v>License Notes &amp; Usage Rules</x:v>
      </x:c>
    </x:row>
    <x:row r="3">
      <x:c r="A3" s="24" t="str">
        <x:v>Source / License</x:v>
      </x:c>
      <x:c r="B3" s="24" t="str">
        <x:v>What it means for Shanghai Connect</x:v>
      </x:c>
      <x:c r="C3" s="24" t="str">
        <x:v>Official Source URL</x:v>
      </x:c>
      <x:c r="D3" s="24" t="str">
        <x:v>Recommended Action</x:v>
      </x:c>
    </x:row>
    <x:row r="4">
      <x:c r="A4" s="45" t="str">
        <x:v>Unsplash License</x:v>
      </x:c>
      <x:c r="B4" s="45" t="str">
        <x:v>Images can generally be used for free for commercial and non-commercial purposes; no permission needed and attribution is appreciated but not required. Avoid selling unmodified images or implying endorsement. Check visible brands, art, trademarks, and identifiable people before publishing.</x:v>
      </x:c>
      <x:c r="C4" s="45" t="str">
        <x:v>https://unsplash.com/license</x:v>
      </x:c>
      <x:c r="D4" s="45" t="str">
        <x:v>Use for most website visuals. Keep photographer credit in the internal sheet and optionally add a credits page.</x:v>
      </x:c>
    </x:row>
    <x:row r="5">
      <x:c r="A5" s="45" t="str">
        <x:v>Pexels License</x:v>
      </x:c>
      <x:c r="B5" s="45" t="str">
        <x:v>Pexels photos/videos are free to use; attribution is not required and editing is allowed. As with all stock images, check people, brands, trademarks, and sensitive-use context.</x:v>
      </x:c>
      <x:c r="C5" s="45" t="str">
        <x:v>https://www.pexels.com/license/</x:v>
      </x:c>
      <x:c r="D5" s="45" t="str">
        <x:v>Use as a backup source for generic lifestyle/tech/travel images.</x:v>
      </x:c>
    </x:row>
    <x:row r="6">
      <x:c r="A6" s="45" t="str">
        <x:v>Pixabay Content License / CC0 Content</x:v>
      </x:c>
      <x:c r="B6" s="45" t="str">
        <x:v>Pixabay has CC0-style/public-domain content and its own content license; restrictions can still apply for standalone resale, trademarks, logos, brands, and sensitive uses.</x:v>
      </x:c>
      <x:c r="C6" s="45" t="str">
        <x:v>https://pixabay.com/service/terms/</x:v>
      </x:c>
      <x:c r="D6" s="45" t="str">
        <x:v>Use for icons, illustrations, and generic photos. Check each asset page before publishing.</x:v>
      </x:c>
    </x:row>
    <x:row r="7">
      <x:c r="A7" s="45" t="str">
        <x:v>Wikimedia Commons – Public Domain</x:v>
      </x:c>
      <x:c r="B7" s="45" t="str">
        <x:v>Public-domain files can usually be used without copyright restrictions, but confirm the file page and note any local/legal caveats.</x:v>
      </x:c>
      <x:c r="C7" s="45" t="str">
        <x:v>https://commons.wikimedia.org/wiki/Main_Page</x:v>
      </x:c>
      <x:c r="D7" s="45" t="str">
        <x:v>Use for historical/contextual Shanghai pages when license is clearly Public Domain.</x:v>
      </x:c>
    </x:row>
    <x:row r="8">
      <x:c r="A8" s="45" t="str">
        <x:v>Wikimedia Commons – CC BY / CC BY-SA</x:v>
      </x:c>
      <x:c r="B8" s="45" t="str">
        <x:v>Creative Commons files often require attribution. ShareAlike licenses may require derivative works to use a compatible license.</x:v>
      </x:c>
      <x:c r="C8" s="45" t="str">
        <x:v>https://creativecommons.org/licenses/</x:v>
      </x:c>
      <x:c r="D8" s="45" t="str">
        <x:v>Use only when you can provide attribution and accept any ShareAlike conditions.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5e2e04c8b8141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4" hidden="0" customWidth="1"/>
    <x:col min="5" max="5" width="54" hidden="0" customWidth="1"/>
    <x:col min="7" max="7" width="28" hidden="0" customWidth="1"/>
    <x:col min="8" max="8" width="14" hidden="0" customWidth="1"/>
  </x:cols>
  <x:sheetData>
    <x:row r="1" ht="30" customHeight="1">
      <x:c r="A1" s="40" t="str">
        <x:v>Shanghai Connect Image Bank – Category Summary</x:v>
      </x:c>
    </x:row>
    <x:row r="3">
      <x:c r="A3" s="24" t="str">
        <x:v>Category</x:v>
      </x:c>
      <x:c r="B3" s="24" t="str">
        <x:v>Count</x:v>
      </x:c>
      <x:c r="C3" s="24" t="str">
        <x:v>Unsplash</x:v>
      </x:c>
      <x:c r="D3" s="24" t="str">
        <x:v>Non-Unsplash</x:v>
      </x:c>
      <x:c r="E3" s="24" t="str">
        <x:v>Primary README Fit</x:v>
      </x:c>
      <x:c r="G3" s="50" t="str">
        <x:v>Total images</x:v>
      </x:c>
      <x:c r="H3" s="50" t="n">
        <x:f>COUNTA('Image Bank'!$C$4:$C$43)</x:f>
        <x:v>40</x:v>
      </x:c>
    </x:row>
    <x:row r="4">
      <x:c r="A4" s="45" t="str">
        <x:v>Arrival guide</x:v>
      </x:c>
      <x:c r="B4" s="45" t="n">
        <x:f>COUNTIF('Image Bank'!$A$4:$A$43,A4)</x:f>
        <x:v>4</x:v>
      </x:c>
      <x:c r="C4" s="45" t="n">
        <x:f>COUNTIFS('Image Bank'!$A$4:$A$43,A4,'Image Bank'!$D$4:$D$43,"Unsplash")</x:f>
        <x:v>4</x:v>
      </x:c>
      <x:c r="D4" s="45" t="n">
        <x:f>B4-C4</x:f>
        <x:v>0</x:v>
      </x:c>
      <x:c r="E4" s="45" t="str">
        <x:v>Airport, first arrival, travel logistics</x:v>
      </x:c>
      <x:c r="G4" s="50" t="str">
        <x:v>Unsplash images</x:v>
      </x:c>
      <x:c r="H4" s="50" t="n">
        <x:f>COUNTIF('Image Bank'!$D$4:$D$43,"Unsplash")</x:f>
        <x:v>37</x:v>
      </x:c>
    </x:row>
    <x:row r="5">
      <x:c r="A5" s="45" t="str">
        <x:v>Essential apps</x:v>
      </x:c>
      <x:c r="B5" s="45" t="n">
        <x:f>COUNTIF('Image Bank'!$A$4:$A$43,A5)</x:f>
        <x:v>4</x:v>
      </x:c>
      <x:c r="C5" s="45" t="n">
        <x:f>COUNTIFS('Image Bank'!$A$4:$A$43,A5,'Image Bank'!$D$4:$D$43,"Unsplash")</x:f>
        <x:v>4</x:v>
      </x:c>
      <x:c r="D5" s="45" t="n">
        <x:f>B5-C5</x:f>
        <x:v>0</x:v>
      </x:c>
      <x:c r="E5" s="45" t="str">
        <x:v>Maps, ride-hailing, navigation, mobile-first guides</x:v>
      </x:c>
      <x:c r="G5" s="50" t="str">
        <x:v>Attribution required / review</x:v>
      </x:c>
      <x:c r="H5" s="50" t="n">
        <x:f>COUNTIF('Image Bank'!$J$4:$J$43,"Needs attribution")</x:f>
        <x:v>1</x:v>
      </x:c>
    </x:row>
    <x:row r="6">
      <x:c r="A6" s="45" t="str">
        <x:v>Food &amp; lifestyle</x:v>
      </x:c>
      <x:c r="B6" s="45" t="n">
        <x:f>COUNTIF('Image Bank'!$A$4:$A$43,A6)</x:f>
        <x:v>3</x:v>
      </x:c>
      <x:c r="C6" s="45" t="n">
        <x:f>COUNTIFS('Image Bank'!$A$4:$A$43,A6,'Image Bank'!$D$4:$D$43,"Unsplash")</x:f>
        <x:v>3</x:v>
      </x:c>
      <x:c r="D6" s="45" t="n">
        <x:f>B6-C6</x:f>
        <x:v>0</x:v>
      </x:c>
      <x:c r="E6" s="45" t="str">
        <x:v>Dining, cafés, everyday life, local markets</x:v>
      </x:c>
    </x:row>
    <x:row r="7">
      <x:c r="A7" s="45" t="str">
        <x:v>Foreign groceries</x:v>
      </x:c>
      <x:c r="B7" s="45" t="n">
        <x:f>COUNTIF('Image Bank'!$A$4:$A$43,A7)</x:f>
        <x:v>4</x:v>
      </x:c>
      <x:c r="C7" s="45" t="n">
        <x:f>COUNTIFS('Image Bank'!$A$4:$A$43,A7,'Image Bank'!$D$4:$D$43,"Unsplash")</x:f>
        <x:v>4</x:v>
      </x:c>
      <x:c r="D7" s="45" t="n">
        <x:f>B7-C7</x:f>
        <x:v>0</x:v>
      </x:c>
      <x:c r="E7" s="45" t="str">
        <x:v>Grocery shopping, imported goods, practical life</x:v>
      </x:c>
    </x:row>
    <x:row r="8">
      <x:c r="A8" s="45" t="str">
        <x:v>History &amp; culture</x:v>
      </x:c>
      <x:c r="B8" s="45" t="n">
        <x:f>COUNTIF('Image Bank'!$A$4:$A$43,A8)</x:f>
        <x:v>3</x:v>
      </x:c>
      <x:c r="C8" s="45" t="n">
        <x:f>COUNTIFS('Image Bank'!$A$4:$A$43,A8,'Image Bank'!$D$4:$D$43,"Unsplash")</x:f>
        <x:v>0</x:v>
      </x:c>
      <x:c r="D8" s="45" t="n">
        <x:f>B8-C8</x:f>
        <x:v>3</x:v>
      </x:c>
      <x:c r="E8" s="45" t="str">
        <x:v>Shanghai context, city history, cultural pages</x:v>
      </x:c>
    </x:row>
    <x:row r="9">
      <x:c r="A9" s="45" t="str">
        <x:v>Homepage hero</x:v>
      </x:c>
      <x:c r="B9" s="45" t="n">
        <x:f>COUNTIF('Image Bank'!$A$4:$A$43,A9)</x:f>
        <x:v>9</x:v>
      </x:c>
      <x:c r="C9" s="45" t="n">
        <x:f>COUNTIFS('Image Bank'!$A$4:$A$43,A9,'Image Bank'!$D$4:$D$43,"Unsplash")</x:f>
        <x:v>9</x:v>
      </x:c>
      <x:c r="D9" s="45" t="n">
        <x:f>B9-C9</x:f>
        <x:v>0</x:v>
      </x:c>
      <x:c r="E9" s="45" t="str">
        <x:v>Landing page, brand identity, city overview</x:v>
      </x:c>
    </x:row>
    <x:row r="10">
      <x:c r="A10" s="45" t="str">
        <x:v>Street-level Shanghai</x:v>
      </x:c>
      <x:c r="B10" s="45" t="n">
        <x:f>COUNTIF('Image Bank'!$A$4:$A$43,A10)</x:f>
        <x:v>6</x:v>
      </x:c>
      <x:c r="C10" s="45" t="n">
        <x:f>COUNTIFS('Image Bank'!$A$4:$A$43,A10,'Image Bank'!$D$4:$D$43,"Unsplash")</x:f>
        <x:v>6</x:v>
      </x:c>
      <x:c r="D10" s="45" t="n">
        <x:f>B10-C10</x:f>
        <x:v>0</x:v>
      </x:c>
      <x:c r="E10" s="45" t="str">
        <x:v>Starter Pack overview, neighbourhoods, city navigation</x:v>
      </x:c>
    </x:row>
    <x:row r="11">
      <x:c r="A11" s="45" t="str">
        <x:v>Transportation</x:v>
      </x:c>
      <x:c r="B11" s="45" t="n">
        <x:f>COUNTIF('Image Bank'!$A$4:$A$43,A11)</x:f>
        <x:v>5</x:v>
      </x:c>
      <x:c r="C11" s="45" t="n">
        <x:f>COUNTIFS('Image Bank'!$A$4:$A$43,A11,'Image Bank'!$D$4:$D$43,"Unsplash")</x:f>
        <x:v>5</x:v>
      </x:c>
      <x:c r="D11" s="45" t="n">
        <x:f>B11-C11</x:f>
        <x:v>0</x:v>
      </x:c>
      <x:c r="E11" s="45" t="str">
        <x:v>Metro, trains, commuting, public transit</x:v>
      </x:c>
    </x:row>
    <x:row r="12">
      <x:c r="A12" s="45" t="str">
        <x:v>VPN &amp; internet</x:v>
      </x:c>
      <x:c r="B12" s="45" t="n">
        <x:f>COUNTIF('Image Bank'!$A$4:$A$43,A12)</x:f>
        <x:v>2</x:v>
      </x:c>
      <x:c r="C12" s="45" t="n">
        <x:f>COUNTIFS('Image Bank'!$A$4:$A$43,A12,'Image Bank'!$D$4:$D$43,"Unsplash")</x:f>
        <x:v>2</x:v>
      </x:c>
      <x:c r="D12" s="45" t="n">
        <x:f>B12-C12</x:f>
        <x:v>0</x:v>
      </x:c>
      <x:c r="E12" s="45" t="str">
        <x:v>Remote work, connectivity, internet setup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4eb4c9a09974245"/>
  </x:tableParts>
</x:worksheet>
</file>